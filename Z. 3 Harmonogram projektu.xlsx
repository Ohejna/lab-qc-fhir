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kuba\Desktop\P.W 2025-2026\02.06.2026\"/>
    </mc:Choice>
  </mc:AlternateContent>
  <xr:revisionPtr revIDLastSave="0" documentId="13_ncr:1_{F31F6EE2-B85B-4A56-A80A-98EC76B43B0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armonogram Gant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9" i="1" l="1"/>
  <c r="E38" i="1"/>
  <c r="E37" i="1"/>
  <c r="E36" i="1"/>
  <c r="E35" i="1"/>
  <c r="E34" i="1"/>
  <c r="E33" i="1"/>
  <c r="E31" i="1"/>
  <c r="E30" i="1"/>
  <c r="E29" i="1"/>
  <c r="E28" i="1"/>
  <c r="E27" i="1"/>
  <c r="E26" i="1"/>
  <c r="E25" i="1"/>
  <c r="E24" i="1"/>
  <c r="E21" i="1"/>
  <c r="E20" i="1"/>
  <c r="E19" i="1"/>
  <c r="E18" i="1"/>
  <c r="E17" i="1"/>
  <c r="E16" i="1"/>
  <c r="E15" i="1"/>
  <c r="E14" i="1"/>
  <c r="E13" i="1"/>
  <c r="E12" i="1"/>
  <c r="E11" i="1"/>
  <c r="E7" i="1"/>
  <c r="E6" i="1"/>
</calcChain>
</file>

<file path=xl/sharedStrings.xml><?xml version="1.0" encoding="utf-8"?>
<sst xmlns="http://schemas.openxmlformats.org/spreadsheetml/2006/main" count="273" uniqueCount="197">
  <si>
    <t>Paź
2025</t>
  </si>
  <si>
    <t>Lis
2025</t>
  </si>
  <si>
    <t>Gru
2025</t>
  </si>
  <si>
    <t>Sty
2026</t>
  </si>
  <si>
    <t>Lut
2026</t>
  </si>
  <si>
    <t>Mar
2026</t>
  </si>
  <si>
    <t>Kwi
2026</t>
  </si>
  <si>
    <t>Maj
2026</t>
  </si>
  <si>
    <t>Cze
2026</t>
  </si>
  <si>
    <t>ID</t>
  </si>
  <si>
    <t>Start</t>
  </si>
  <si>
    <t>Koniec</t>
  </si>
  <si>
    <t>Dni</t>
  </si>
  <si>
    <t>F1</t>
  </si>
  <si>
    <t>28.02.2026</t>
  </si>
  <si>
    <t>100%</t>
  </si>
  <si>
    <t>1.1</t>
  </si>
  <si>
    <t>10,11.2025 -  Wstęp do projektu</t>
  </si>
  <si>
    <t>31.11.2025</t>
  </si>
  <si>
    <t>1.1.1</t>
  </si>
  <si>
    <t>Omówienie zasad prowadzenia projektu z prowadzącym</t>
  </si>
  <si>
    <t>1.1.2</t>
  </si>
  <si>
    <t>Wybór projektu, omówienie tematyki</t>
  </si>
  <si>
    <t>1.1.3</t>
  </si>
  <si>
    <t xml:space="preserve">Przygotowanie się na spotkanie z biznesem </t>
  </si>
  <si>
    <t>31</t>
  </si>
  <si>
    <t>1.2</t>
  </si>
  <si>
    <t>12.2025 -  Inicjacja, struktura, dokumentacja wstępna</t>
  </si>
  <si>
    <t>01.12.1015</t>
  </si>
  <si>
    <t>1.2.1</t>
  </si>
  <si>
    <t>Pierwsze spotkanie z biznesem: oczekiwania, temat, harmonogram poglądowy</t>
  </si>
  <si>
    <t>1.2.2</t>
  </si>
  <si>
    <t>Research i zapoznanie ze standardem HL7 FHIR</t>
  </si>
  <si>
    <t>1.2.3</t>
  </si>
  <si>
    <t>Opracowanie struktury, zakresu, celu i przedmiotu analizy</t>
  </si>
  <si>
    <t>1.2.4</t>
  </si>
  <si>
    <t>Zapoznanie ze standardem HL7 FHIR R5, LOINC, UCUM</t>
  </si>
  <si>
    <t>1.2.5</t>
  </si>
  <si>
    <t>Zebranie definicji i skrótów; struktura dokumentu</t>
  </si>
  <si>
    <t>1.2.6</t>
  </si>
  <si>
    <t>Charakterystyka użytkowników</t>
  </si>
  <si>
    <t>1.2.7</t>
  </si>
  <si>
    <t>Zdefiniowanie ograniczeń oraz możliwych rozszerzeń</t>
  </si>
  <si>
    <t>1.2.8</t>
  </si>
  <si>
    <t>Interesariusze i macierz RACI</t>
  </si>
  <si>
    <t>1.2.9</t>
  </si>
  <si>
    <t>Opis procesu AS-IS, identyfikacja problemów obecnego procesu</t>
  </si>
  <si>
    <t>1.2.10</t>
  </si>
  <si>
    <t>Opracowanie procesu TO-BE i porównanie</t>
  </si>
  <si>
    <t>1.2.11</t>
  </si>
  <si>
    <t>Opracowanie diagramów procesu TO-BE (ArchiMate)</t>
  </si>
  <si>
    <t>1.2.12</t>
  </si>
  <si>
    <t xml:space="preserve">Opracowanie scenariuszów użycia </t>
  </si>
  <si>
    <t>KM.1</t>
  </si>
  <si>
    <t>1.3</t>
  </si>
  <si>
    <t>01.2025 -  Wymagania i architektura systemu</t>
  </si>
  <si>
    <t>01.01.2026</t>
  </si>
  <si>
    <t>31.01.2026</t>
  </si>
  <si>
    <t>1.3.1</t>
  </si>
  <si>
    <t>Wymagania funkcjonalne: import, walidacja, normalizacja</t>
  </si>
  <si>
    <t>1.3.2</t>
  </si>
  <si>
    <t>Wymagania funkcjonalne: jakość danych, raportowanie, API</t>
  </si>
  <si>
    <t>1.3.3</t>
  </si>
  <si>
    <t>Wymagania niefunkcjonalne (wydajność, bezpieczeństwo)</t>
  </si>
  <si>
    <t>1.3.4</t>
  </si>
  <si>
    <t>Architektura logiczna systemu (diagram komponentów)</t>
  </si>
  <si>
    <t>KM.2</t>
  </si>
  <si>
    <t>1.3.5</t>
  </si>
  <si>
    <t>Architektura logiczna systemu + diagramy</t>
  </si>
  <si>
    <t>1.3.6</t>
  </si>
  <si>
    <t>Archiyektura fizyczna systemu + diagramy</t>
  </si>
  <si>
    <t>1.3.7</t>
  </si>
  <si>
    <t>Przepływ danych oraz dokładne opracowanie struktury danych</t>
  </si>
  <si>
    <t>1.4</t>
  </si>
  <si>
    <t>02.2026 - Interfejs, ryzyka, kamienie milowe</t>
  </si>
  <si>
    <t>01.02.2026</t>
  </si>
  <si>
    <t>28</t>
  </si>
  <si>
    <t>1.4.1</t>
  </si>
  <si>
    <t xml:space="preserve">Kwestie prawne </t>
  </si>
  <si>
    <t>10.02.2026</t>
  </si>
  <si>
    <t>1.4.2</t>
  </si>
  <si>
    <t>Standardy danych: HL7 FHIR, LOINC, UCUM, JSON</t>
  </si>
  <si>
    <t>05.02.2026</t>
  </si>
  <si>
    <t>14.02.2026</t>
  </si>
  <si>
    <t>KM.3</t>
  </si>
  <si>
    <t>1.4.3</t>
  </si>
  <si>
    <t>RODO i regulacje prawne</t>
  </si>
  <si>
    <t>18.02.2026</t>
  </si>
  <si>
    <t>1.4.4</t>
  </si>
  <si>
    <t>12.02.2026</t>
  </si>
  <si>
    <t>20.02.2026</t>
  </si>
  <si>
    <t>1.4.5</t>
  </si>
  <si>
    <t>Ryzyka projektowe i kamienie milowe</t>
  </si>
  <si>
    <t>15.02.2026</t>
  </si>
  <si>
    <t>22.02.2026</t>
  </si>
  <si>
    <t>1.4.6</t>
  </si>
  <si>
    <t>Poprawki końcowe + redakcja dokumentu</t>
  </si>
  <si>
    <t>F2</t>
  </si>
  <si>
    <t>01.03.2026</t>
  </si>
  <si>
    <t>02.06.2026</t>
  </si>
  <si>
    <t>2.1</t>
  </si>
  <si>
    <t>31.03.2026</t>
  </si>
  <si>
    <t>2.1.1</t>
  </si>
  <si>
    <t>10.03.2026</t>
  </si>
  <si>
    <t>2.1.2</t>
  </si>
  <si>
    <t>20.03.2026</t>
  </si>
  <si>
    <t>2.1.3</t>
  </si>
  <si>
    <t>2.2</t>
  </si>
  <si>
    <t>01.04.2026</t>
  </si>
  <si>
    <t>30.04.2026</t>
  </si>
  <si>
    <t>2.2.1</t>
  </si>
  <si>
    <t>2.2.2</t>
  </si>
  <si>
    <t>2.2.3</t>
  </si>
  <si>
    <t>2.2.4</t>
  </si>
  <si>
    <t>2.3</t>
  </si>
  <si>
    <t>01.05.2026</t>
  </si>
  <si>
    <t>31.05.2026</t>
  </si>
  <si>
    <t>2.3.1</t>
  </si>
  <si>
    <t>12.05.2026</t>
  </si>
  <si>
    <t>2.3.2</t>
  </si>
  <si>
    <t>18.05.2026</t>
  </si>
  <si>
    <t>2.3.3</t>
  </si>
  <si>
    <t>25.05.2026</t>
  </si>
  <si>
    <t>2.3.4</t>
  </si>
  <si>
    <t>20.05.2026</t>
  </si>
  <si>
    <t>2.3.5</t>
  </si>
  <si>
    <t>10.05.2026</t>
  </si>
  <si>
    <t>2.4</t>
  </si>
  <si>
    <t>01.06.2026</t>
  </si>
  <si>
    <t>2.4.1</t>
  </si>
  <si>
    <t>2.4.2</t>
  </si>
  <si>
    <t>03.2026 - Środowisko i wczytywanie danych</t>
  </si>
  <si>
    <t>04.2026 - Standaryzacja i wzbogacanie danych</t>
  </si>
  <si>
    <t>2.3.6</t>
  </si>
  <si>
    <t>Implementacja loader.py (wczytywanie patients + observations JSONL)</t>
  </si>
  <si>
    <t>Implementacja validator.py (kategoryzacja red / yellow / green)</t>
  </si>
  <si>
    <t>Implementacja standardizer.py (normalizacja jednostek UCUM)</t>
  </si>
  <si>
    <t>Konfiguracja reference_ranges.json (zakresy referencyjne LOINC)</t>
  </si>
  <si>
    <t>Implementacja enricher.py (referenceRange + interpretacja L/N/H)</t>
  </si>
  <si>
    <t>Implementacja quality_control.py (detekcja outlierów)</t>
  </si>
  <si>
    <t>Implementacja exporter.py (clean JSONL + raport CSV z BOM)</t>
  </si>
  <si>
    <t>Implementacja app.py — screen_upload (import plików JSONL)</t>
  </si>
  <si>
    <t>Implementacja app.py — screen_export (metryki, pobieranie)</t>
  </si>
  <si>
    <t>Poprawki standardizer + enricher po uwagach opiekuna (kwiecień)</t>
  </si>
  <si>
    <t>Zadanie</t>
  </si>
  <si>
    <t>Implementacja app.py — screen_review (tabela, filtry)</t>
  </si>
  <si>
    <t>KAMIENIE MILOWE – FAZA 1:</t>
  </si>
  <si>
    <t>KM 1.1</t>
  </si>
  <si>
    <t>KM 1.2</t>
  </si>
  <si>
    <t>KM 1.3</t>
  </si>
  <si>
    <t>KM 1.4</t>
  </si>
  <si>
    <t>Start projektu i zatwierdzenie tematu</t>
  </si>
  <si>
    <t>Zakończenie analizy A-IS</t>
  </si>
  <si>
    <t>Opracowanie procesu TO-BE</t>
  </si>
  <si>
    <t>Ustalenie standardów danych i technologii</t>
  </si>
  <si>
    <t>Zatwierdzenie architektury systemu</t>
  </si>
  <si>
    <t xml:space="preserve">Zakończenie analizy ryzyk </t>
  </si>
  <si>
    <t>KM 1.5</t>
  </si>
  <si>
    <t>KM 1.6</t>
  </si>
  <si>
    <t>KM 1.7</t>
  </si>
  <si>
    <t>Przygotowanie środowiska</t>
  </si>
  <si>
    <t>Implementacja importu danych</t>
  </si>
  <si>
    <t>Implementacja walidacji jakości danych</t>
  </si>
  <si>
    <t>Testy</t>
  </si>
  <si>
    <t>Osiągnięcie (niektórych) wymagań</t>
  </si>
  <si>
    <t>Odbiór</t>
  </si>
  <si>
    <t xml:space="preserve">06.2026 - Testowanie i odbiór </t>
  </si>
  <si>
    <t>Podsumowanie testów</t>
  </si>
  <si>
    <t>Harmonogram projektu  ,,System kontroli jakości i standaryzacji danych laboratoryjnych w standardzie HL7 FHIR"
10.2025 - 06.2026</t>
  </si>
  <si>
    <t>Interfejs</t>
  </si>
  <si>
    <t>KM 1.8</t>
  </si>
  <si>
    <t>Określenie wymagań oraz utworzenie diagramów architektury</t>
  </si>
  <si>
    <t xml:space="preserve">Akceptacja dokumentacji </t>
  </si>
  <si>
    <t xml:space="preserve">Implementacja modułu normalizacji jednostek, zakresów, detekcji </t>
  </si>
  <si>
    <t>Implementacja modułów exportu danych, filtrów, przeglądu danych, ikonfiguracja nterfejsu</t>
  </si>
  <si>
    <t>Kontakt z biznesem —  uwagi (1.2.3-1.2.12)</t>
  </si>
  <si>
    <t>Kontakt z biznesem — uwagi (1.2.3-1.2.12 , 1.3.1-1.3.4)</t>
  </si>
  <si>
    <t xml:space="preserve"> Kontakt — uwagi (1.2.10, 1.3.3-1.3.7)</t>
  </si>
  <si>
    <t xml:space="preserve">Kontakt  — akceptacja finalna </t>
  </si>
  <si>
    <t>DOSTARCZONE PRZYROSTY – FAZA 2:</t>
  </si>
  <si>
    <t>P 2.1</t>
  </si>
  <si>
    <t>P 2.2</t>
  </si>
  <si>
    <t>P 2.3</t>
  </si>
  <si>
    <t>P 2.4</t>
  </si>
  <si>
    <t>P 2.5</t>
  </si>
  <si>
    <t>P 2.6</t>
  </si>
  <si>
    <t>P 2.7</t>
  </si>
  <si>
    <t>P 2.8</t>
  </si>
  <si>
    <t>KM.4</t>
  </si>
  <si>
    <t>Konfiguracja środowiska (Python, Streamlit)</t>
  </si>
  <si>
    <t>05.2026 - Interfejs użytkownika i eksport + model NN</t>
  </si>
  <si>
    <t>2.3.7</t>
  </si>
  <si>
    <t>FAZA 1 – Analiza przedwdrożeniowa - metodyka Waterfall</t>
  </si>
  <si>
    <t>FAZA 2 – Projektowanie i testowanie - Metodyka Kanban</t>
  </si>
  <si>
    <t>Implementacja modułu wykrywania anomalii (sieć neuronowa)</t>
  </si>
  <si>
    <t>Postęp % / status</t>
  </si>
  <si>
    <t>Gotowe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</si>
</sst>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  <charset val="238"/>
    </font>
    <font>
      <b/>
      <sz val="9"/>
      <color rgb="FFFFFFFF"/>
      <name val="Arial"/>
      <family val="2"/>
      <charset val="238"/>
    </font>
    <font>
      <sz val="9"/>
      <color rgb="FFFFFFFF"/>
      <name val="Arial"/>
      <family val="2"/>
      <charset val="238"/>
    </font>
    <font>
      <sz val="9"/>
      <color rgb="FF000000"/>
      <name val="Arial"/>
      <family val="2"/>
      <charset val="238"/>
    </font>
    <font>
      <sz val="9"/>
      <color rgb="FFFFFFFF"/>
      <name val="Arial"/>
      <family val="2"/>
      <charset val="238"/>
    </font>
    <font>
      <sz val="9"/>
      <color rgb="FF000000"/>
      <name val="Arial"/>
      <family val="2"/>
      <charset val="238"/>
    </font>
    <font>
      <b/>
      <sz val="9"/>
      <color rgb="FFFFFFFF"/>
      <name val="Arial"/>
      <family val="2"/>
      <charset val="238"/>
    </font>
    <font>
      <sz val="9"/>
      <color rgb="FFFFFFFF"/>
      <name val="Arial"/>
      <family val="2"/>
      <charset val="238"/>
    </font>
    <font>
      <sz val="9"/>
      <color rgb="FF000000"/>
      <name val="Arial"/>
      <family val="2"/>
      <charset val="238"/>
    </font>
    <font>
      <b/>
      <sz val="9"/>
      <color rgb="FF000000"/>
      <name val="Arial"/>
      <family val="2"/>
      <charset val="238"/>
    </font>
    <font>
      <sz val="8"/>
      <name val="Calibri"/>
      <family val="2"/>
      <scheme val="minor"/>
    </font>
    <font>
      <sz val="9"/>
      <color theme="0"/>
      <name val="Arial"/>
      <family val="2"/>
      <charset val="238"/>
    </font>
  </fonts>
  <fills count="2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597"/>
      </patternFill>
    </fill>
    <fill>
      <patternFill patternType="solid">
        <fgColor rgb="FF2E4057"/>
      </patternFill>
    </fill>
    <fill>
      <patternFill patternType="solid">
        <fgColor rgb="FFFFFFFF"/>
      </patternFill>
    </fill>
    <fill>
      <patternFill patternType="solid">
        <fgColor rgb="FF1B6CA8"/>
      </patternFill>
    </fill>
    <fill>
      <patternFill patternType="solid">
        <fgColor rgb="FF5C7AEA"/>
      </patternFill>
    </fill>
    <fill>
      <patternFill patternType="solid">
        <fgColor rgb="FFEFF4FB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F5597"/>
      </patternFill>
    </fill>
    <fill>
      <patternFill patternType="solid">
        <fgColor rgb="FF1F3864"/>
      </patternFill>
    </fill>
    <fill>
      <patternFill patternType="solid">
        <fgColor rgb="FFEFF4FB"/>
      </patternFill>
    </fill>
    <fill>
      <patternFill patternType="solid">
        <fgColor rgb="FFFFFFFF"/>
      </patternFill>
    </fill>
    <fill>
      <patternFill patternType="solid">
        <fgColor rgb="FF2E4057"/>
      </patternFill>
    </fill>
    <fill>
      <patternFill patternType="solid">
        <fgColor rgb="FF1B6CA8"/>
      </patternFill>
    </fill>
    <fill>
      <patternFill patternType="solid">
        <fgColor rgb="FF5C7AEA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1" xfId="0" applyFill="1" applyBorder="1"/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/>
    </xf>
    <xf numFmtId="14" fontId="4" fillId="8" borderId="1" xfId="0" applyNumberFormat="1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14" fontId="3" fillId="6" borderId="1" xfId="0" applyNumberFormat="1" applyFont="1" applyFill="1" applyBorder="1" applyAlignment="1">
      <alignment horizontal="center" vertical="center"/>
    </xf>
    <xf numFmtId="0" fontId="4" fillId="5" borderId="0" xfId="0" applyFont="1" applyFill="1" applyAlignment="1">
      <alignment horizontal="left" vertical="center" wrapText="1"/>
    </xf>
    <xf numFmtId="14" fontId="4" fillId="5" borderId="1" xfId="0" quotePrefix="1" applyNumberFormat="1" applyFont="1" applyFill="1" applyBorder="1" applyAlignment="1">
      <alignment horizontal="left" vertical="center" wrapText="1"/>
    </xf>
    <xf numFmtId="0" fontId="4" fillId="5" borderId="1" xfId="0" quotePrefix="1" applyFont="1" applyFill="1" applyBorder="1" applyAlignment="1">
      <alignment horizontal="left" vertical="center" wrapText="1"/>
    </xf>
    <xf numFmtId="16" fontId="2" fillId="6" borderId="1" xfId="0" quotePrefix="1" applyNumberFormat="1" applyFont="1" applyFill="1" applyBorder="1" applyAlignment="1">
      <alignment horizontal="left" vertical="center"/>
    </xf>
    <xf numFmtId="0" fontId="4" fillId="5" borderId="1" xfId="0" quotePrefix="1" applyFont="1" applyFill="1" applyBorder="1" applyAlignment="1">
      <alignment horizontal="left" vertical="center"/>
    </xf>
    <xf numFmtId="0" fontId="2" fillId="6" borderId="1" xfId="0" quotePrefix="1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14" fontId="0" fillId="2" borderId="1" xfId="0" applyNumberFormat="1" applyFill="1" applyBorder="1"/>
    <xf numFmtId="14" fontId="2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14" fontId="5" fillId="6" borderId="1" xfId="0" quotePrefix="1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 wrapText="1"/>
    </xf>
    <xf numFmtId="0" fontId="4" fillId="10" borderId="1" xfId="0" quotePrefix="1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/>
    </xf>
    <xf numFmtId="0" fontId="4" fillId="10" borderId="1" xfId="0" quotePrefix="1" applyFont="1" applyFill="1" applyBorder="1" applyAlignment="1">
      <alignment horizontal="left" vertical="center"/>
    </xf>
    <xf numFmtId="14" fontId="4" fillId="10" borderId="1" xfId="0" applyNumberFormat="1" applyFont="1" applyFill="1" applyBorder="1" applyAlignment="1">
      <alignment horizontal="center" vertical="center"/>
    </xf>
    <xf numFmtId="0" fontId="4" fillId="11" borderId="1" xfId="0" quotePrefix="1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left" vertical="center" wrapText="1"/>
    </xf>
    <xf numFmtId="14" fontId="4" fillId="11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/>
    </xf>
    <xf numFmtId="0" fontId="7" fillId="12" borderId="4" xfId="0" applyFont="1" applyFill="1" applyBorder="1" applyAlignment="1">
      <alignment horizontal="center" vertical="center" wrapText="1"/>
    </xf>
    <xf numFmtId="0" fontId="0" fillId="13" borderId="4" xfId="0" applyFill="1" applyBorder="1"/>
    <xf numFmtId="0" fontId="7" fillId="16" borderId="4" xfId="0" applyFont="1" applyFill="1" applyBorder="1" applyAlignment="1">
      <alignment horizontal="left" vertical="center"/>
    </xf>
    <xf numFmtId="0" fontId="8" fillId="16" borderId="4" xfId="0" applyFont="1" applyFill="1" applyBorder="1" applyAlignment="1">
      <alignment horizontal="center" vertical="center"/>
    </xf>
    <xf numFmtId="0" fontId="9" fillId="15" borderId="4" xfId="0" applyFont="1" applyFill="1" applyBorder="1" applyAlignment="1">
      <alignment horizontal="left" vertical="center"/>
    </xf>
    <xf numFmtId="0" fontId="9" fillId="16" borderId="4" xfId="0" applyFont="1" applyFill="1" applyBorder="1" applyAlignment="1">
      <alignment horizontal="left" vertical="center"/>
    </xf>
    <xf numFmtId="0" fontId="7" fillId="17" borderId="4" xfId="0" applyFont="1" applyFill="1" applyBorder="1" applyAlignment="1">
      <alignment horizontal="left" vertical="center"/>
    </xf>
    <xf numFmtId="0" fontId="8" fillId="17" borderId="4" xfId="0" applyFont="1" applyFill="1" applyBorder="1" applyAlignment="1">
      <alignment horizontal="center" vertical="center"/>
    </xf>
    <xf numFmtId="0" fontId="9" fillId="14" borderId="4" xfId="0" applyFont="1" applyFill="1" applyBorder="1" applyAlignment="1">
      <alignment horizontal="left" vertical="center"/>
    </xf>
    <xf numFmtId="0" fontId="9" fillId="18" borderId="4" xfId="0" applyFont="1" applyFill="1" applyBorder="1" applyAlignment="1">
      <alignment horizontal="left" vertical="center"/>
    </xf>
    <xf numFmtId="0" fontId="9" fillId="15" borderId="4" xfId="0" applyFont="1" applyFill="1" applyBorder="1" applyAlignment="1">
      <alignment horizontal="center" vertical="center"/>
    </xf>
    <xf numFmtId="0" fontId="9" fillId="14" borderId="4" xfId="0" applyFont="1" applyFill="1" applyBorder="1" applyAlignment="1">
      <alignment horizontal="center" vertical="center"/>
    </xf>
    <xf numFmtId="14" fontId="8" fillId="17" borderId="4" xfId="0" applyNumberFormat="1" applyFont="1" applyFill="1" applyBorder="1" applyAlignment="1">
      <alignment horizontal="center" vertical="center"/>
    </xf>
    <xf numFmtId="14" fontId="9" fillId="15" borderId="4" xfId="0" applyNumberFormat="1" applyFont="1" applyFill="1" applyBorder="1" applyAlignment="1">
      <alignment horizontal="center" vertical="center"/>
    </xf>
    <xf numFmtId="14" fontId="9" fillId="14" borderId="4" xfId="0" applyNumberFormat="1" applyFont="1" applyFill="1" applyBorder="1" applyAlignment="1">
      <alignment horizontal="center" vertical="center"/>
    </xf>
    <xf numFmtId="0" fontId="10" fillId="15" borderId="4" xfId="0" applyFont="1" applyFill="1" applyBorder="1" applyAlignment="1">
      <alignment horizontal="left" vertical="center"/>
    </xf>
    <xf numFmtId="0" fontId="0" fillId="11" borderId="4" xfId="0" applyFill="1" applyBorder="1"/>
    <xf numFmtId="0" fontId="9" fillId="11" borderId="4" xfId="0" applyFont="1" applyFill="1" applyBorder="1" applyAlignment="1">
      <alignment horizontal="left" vertical="center"/>
    </xf>
    <xf numFmtId="0" fontId="0" fillId="11" borderId="0" xfId="0" applyFill="1"/>
    <xf numFmtId="0" fontId="2" fillId="17" borderId="4" xfId="0" applyFont="1" applyFill="1" applyBorder="1" applyAlignment="1">
      <alignment horizontal="left" vertical="center" wrapText="1"/>
    </xf>
    <xf numFmtId="0" fontId="9" fillId="9" borderId="4" xfId="0" applyFont="1" applyFill="1" applyBorder="1" applyAlignment="1">
      <alignment horizontal="left" vertical="center"/>
    </xf>
    <xf numFmtId="0" fontId="4" fillId="15" borderId="4" xfId="0" applyFont="1" applyFill="1" applyBorder="1" applyAlignment="1">
      <alignment horizontal="left" vertical="center" wrapText="1"/>
    </xf>
    <xf numFmtId="0" fontId="4" fillId="14" borderId="4" xfId="0" applyFont="1" applyFill="1" applyBorder="1" applyAlignment="1">
      <alignment horizontal="left" vertical="center" wrapText="1"/>
    </xf>
    <xf numFmtId="0" fontId="4" fillId="15" borderId="4" xfId="0" quotePrefix="1" applyFont="1" applyFill="1" applyBorder="1" applyAlignment="1">
      <alignment horizontal="left" vertical="center"/>
    </xf>
    <xf numFmtId="9" fontId="4" fillId="5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6" fillId="5" borderId="1" xfId="0" quotePrefix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4" fillId="5" borderId="1" xfId="0" applyNumberFormat="1" applyFont="1" applyFill="1" applyBorder="1" applyAlignment="1">
      <alignment horizontal="center" vertical="center" wrapText="1"/>
    </xf>
    <xf numFmtId="14" fontId="4" fillId="10" borderId="1" xfId="0" applyNumberFormat="1" applyFont="1" applyFill="1" applyBorder="1" applyAlignment="1">
      <alignment horizontal="center" vertical="center" wrapText="1"/>
    </xf>
    <xf numFmtId="0" fontId="10" fillId="11" borderId="4" xfId="0" applyFont="1" applyFill="1" applyBorder="1" applyAlignment="1">
      <alignment horizontal="left" vertical="center"/>
    </xf>
    <xf numFmtId="14" fontId="4" fillId="11" borderId="1" xfId="0" applyNumberFormat="1" applyFont="1" applyFill="1" applyBorder="1" applyAlignment="1">
      <alignment horizontal="center" vertical="center" wrapText="1"/>
    </xf>
    <xf numFmtId="14" fontId="9" fillId="11" borderId="4" xfId="0" applyNumberFormat="1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left" vertical="center"/>
    </xf>
    <xf numFmtId="0" fontId="4" fillId="19" borderId="1" xfId="0" applyFont="1" applyFill="1" applyBorder="1" applyAlignment="1">
      <alignment horizontal="left" vertical="center" wrapText="1"/>
    </xf>
    <xf numFmtId="14" fontId="4" fillId="19" borderId="1" xfId="0" applyNumberFormat="1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 wrapText="1"/>
    </xf>
    <xf numFmtId="0" fontId="4" fillId="19" borderId="1" xfId="0" applyFont="1" applyFill="1" applyBorder="1" applyAlignment="1">
      <alignment horizontal="center" vertical="center"/>
    </xf>
    <xf numFmtId="0" fontId="4" fillId="19" borderId="1" xfId="0" quotePrefix="1" applyFont="1" applyFill="1" applyBorder="1" applyAlignment="1">
      <alignment horizontal="left" vertical="center"/>
    </xf>
    <xf numFmtId="14" fontId="6" fillId="19" borderId="1" xfId="0" applyNumberFormat="1" applyFont="1" applyFill="1" applyBorder="1" applyAlignment="1">
      <alignment horizontal="center" vertical="center"/>
    </xf>
    <xf numFmtId="9" fontId="4" fillId="19" borderId="1" xfId="0" applyNumberFormat="1" applyFont="1" applyFill="1" applyBorder="1" applyAlignment="1">
      <alignment horizontal="center" vertical="center"/>
    </xf>
    <xf numFmtId="14" fontId="4" fillId="14" borderId="4" xfId="0" quotePrefix="1" applyNumberFormat="1" applyFont="1" applyFill="1" applyBorder="1" applyAlignment="1">
      <alignment horizontal="left" vertical="center"/>
    </xf>
    <xf numFmtId="14" fontId="4" fillId="15" borderId="4" xfId="0" quotePrefix="1" applyNumberFormat="1" applyFont="1" applyFill="1" applyBorder="1" applyAlignment="1">
      <alignment horizontal="left" vertical="center"/>
    </xf>
    <xf numFmtId="0" fontId="2" fillId="16" borderId="4" xfId="0" applyFont="1" applyFill="1" applyBorder="1" applyAlignment="1">
      <alignment horizontal="left" vertical="center" wrapText="1"/>
    </xf>
    <xf numFmtId="0" fontId="4" fillId="14" borderId="4" xfId="0" applyFont="1" applyFill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4" fillId="11" borderId="4" xfId="0" applyFont="1" applyFill="1" applyBorder="1" applyAlignment="1">
      <alignment horizontal="left" vertical="center"/>
    </xf>
    <xf numFmtId="0" fontId="0" fillId="11" borderId="5" xfId="0" applyFill="1" applyBorder="1"/>
    <xf numFmtId="0" fontId="0" fillId="11" borderId="6" xfId="0" applyFill="1" applyBorder="1"/>
    <xf numFmtId="0" fontId="2" fillId="13" borderId="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9" fontId="3" fillId="16" borderId="4" xfId="0" applyNumberFormat="1" applyFont="1" applyFill="1" applyBorder="1" applyAlignment="1">
      <alignment horizontal="center" vertical="center"/>
    </xf>
    <xf numFmtId="9" fontId="3" fillId="17" borderId="4" xfId="0" applyNumberFormat="1" applyFont="1" applyFill="1" applyBorder="1" applyAlignment="1">
      <alignment horizontal="center" vertical="center"/>
    </xf>
    <xf numFmtId="9" fontId="4" fillId="15" borderId="4" xfId="0" applyNumberFormat="1" applyFont="1" applyFill="1" applyBorder="1" applyAlignment="1">
      <alignment horizontal="center" vertical="center"/>
    </xf>
    <xf numFmtId="9" fontId="4" fillId="14" borderId="4" xfId="0" applyNumberFormat="1" applyFont="1" applyFill="1" applyBorder="1" applyAlignment="1">
      <alignment horizontal="center" vertical="center"/>
    </xf>
    <xf numFmtId="9" fontId="12" fillId="20" borderId="4" xfId="0" applyNumberFormat="1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82"/>
  <sheetViews>
    <sheetView tabSelected="1" zoomScale="85" zoomScaleNormal="85" workbookViewId="0">
      <selection activeCell="G14" sqref="G14"/>
    </sheetView>
  </sheetViews>
  <sheetFormatPr defaultRowHeight="14.5" x14ac:dyDescent="0.35"/>
  <cols>
    <col min="1" max="1" width="9" customWidth="1"/>
    <col min="2" max="2" width="53.6328125" customWidth="1"/>
    <col min="3" max="3" width="16.54296875" style="28" customWidth="1"/>
    <col min="4" max="4" width="17.7265625" style="28" customWidth="1"/>
    <col min="5" max="5" width="9.81640625" style="72" customWidth="1"/>
    <col min="6" max="6" width="17.36328125" customWidth="1"/>
    <col min="7" max="15" width="13" customWidth="1"/>
  </cols>
  <sheetData>
    <row r="1" spans="1:61" ht="42" customHeight="1" x14ac:dyDescent="0.35">
      <c r="A1" s="97" t="s">
        <v>168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9"/>
    </row>
    <row r="2" spans="1:61" ht="28" customHeight="1" x14ac:dyDescent="0.35">
      <c r="A2" s="1"/>
      <c r="B2" s="1"/>
      <c r="C2" s="26"/>
      <c r="D2" s="26"/>
      <c r="E2" s="67"/>
      <c r="F2" s="1"/>
      <c r="G2" s="2" t="s">
        <v>0</v>
      </c>
      <c r="H2" s="2" t="s">
        <v>1</v>
      </c>
      <c r="I2" s="2" t="s">
        <v>2</v>
      </c>
      <c r="J2" s="2" t="s">
        <v>3</v>
      </c>
      <c r="K2" s="2" t="s">
        <v>4</v>
      </c>
      <c r="L2" s="42" t="s">
        <v>5</v>
      </c>
      <c r="M2" s="42" t="s">
        <v>6</v>
      </c>
      <c r="N2" s="42" t="s">
        <v>7</v>
      </c>
      <c r="O2" s="42" t="s">
        <v>8</v>
      </c>
    </row>
    <row r="3" spans="1:61" ht="20" customHeight="1" x14ac:dyDescent="0.35">
      <c r="A3" s="3" t="s">
        <v>9</v>
      </c>
      <c r="B3" s="3" t="s">
        <v>144</v>
      </c>
      <c r="C3" s="27" t="s">
        <v>10</v>
      </c>
      <c r="D3" s="27" t="s">
        <v>11</v>
      </c>
      <c r="E3" s="3" t="s">
        <v>12</v>
      </c>
      <c r="F3" s="3" t="s">
        <v>195</v>
      </c>
      <c r="G3" s="3"/>
      <c r="H3" s="3"/>
      <c r="I3" s="3"/>
      <c r="J3" s="3"/>
      <c r="K3" s="3"/>
      <c r="L3" s="43"/>
      <c r="M3" s="43"/>
      <c r="N3" s="43"/>
      <c r="O3" s="43"/>
    </row>
    <row r="4" spans="1:61" ht="18" customHeight="1" x14ac:dyDescent="0.35">
      <c r="A4" s="4" t="s">
        <v>13</v>
      </c>
      <c r="B4" s="5" t="s">
        <v>192</v>
      </c>
      <c r="C4" s="17">
        <v>45931</v>
      </c>
      <c r="D4" s="17" t="s">
        <v>14</v>
      </c>
      <c r="E4" s="6">
        <v>151</v>
      </c>
      <c r="F4" s="6" t="s">
        <v>15</v>
      </c>
      <c r="G4" s="7"/>
      <c r="H4" s="7"/>
      <c r="I4" s="7"/>
      <c r="J4" s="7"/>
      <c r="K4" s="7"/>
      <c r="L4" s="58"/>
      <c r="M4" s="58"/>
      <c r="N4" s="58"/>
      <c r="O4" s="58"/>
    </row>
    <row r="5" spans="1:61" ht="18" customHeight="1" x14ac:dyDescent="0.35">
      <c r="A5" s="9" t="s">
        <v>16</v>
      </c>
      <c r="B5" s="10" t="s">
        <v>17</v>
      </c>
      <c r="C5" s="18">
        <v>45931</v>
      </c>
      <c r="D5" s="18" t="s">
        <v>18</v>
      </c>
      <c r="E5" s="11">
        <v>31</v>
      </c>
      <c r="F5" s="11" t="s">
        <v>15</v>
      </c>
      <c r="G5" s="12"/>
      <c r="H5" s="12"/>
      <c r="I5" s="41"/>
      <c r="J5" s="41"/>
      <c r="K5" s="41"/>
      <c r="L5" s="58"/>
      <c r="M5" s="58"/>
      <c r="N5" s="58"/>
      <c r="O5" s="58"/>
    </row>
    <row r="6" spans="1:61" s="13" customFormat="1" ht="18" customHeight="1" x14ac:dyDescent="0.35">
      <c r="A6" s="20" t="s">
        <v>19</v>
      </c>
      <c r="B6" s="13" t="s">
        <v>20</v>
      </c>
      <c r="C6" s="73">
        <v>45931</v>
      </c>
      <c r="D6" s="73">
        <v>45945</v>
      </c>
      <c r="E6" s="68">
        <f>D6-C6</f>
        <v>14</v>
      </c>
      <c r="F6" s="14" t="s">
        <v>15</v>
      </c>
      <c r="G6" s="12"/>
      <c r="I6" s="36"/>
      <c r="J6" s="36"/>
      <c r="K6" s="36"/>
      <c r="L6" s="58"/>
      <c r="M6" s="58"/>
      <c r="N6" s="58"/>
      <c r="O6" s="58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s="19" customFormat="1" ht="16.5" customHeight="1" x14ac:dyDescent="0.35">
      <c r="A7" s="31" t="s">
        <v>21</v>
      </c>
      <c r="B7" s="30" t="s">
        <v>22</v>
      </c>
      <c r="C7" s="74">
        <v>45946</v>
      </c>
      <c r="D7" s="74">
        <v>45961</v>
      </c>
      <c r="E7" s="69">
        <f>D7-C7</f>
        <v>15</v>
      </c>
      <c r="F7" s="32" t="s">
        <v>15</v>
      </c>
      <c r="G7" s="12"/>
      <c r="H7" s="13"/>
      <c r="I7" s="36"/>
      <c r="J7" s="36"/>
      <c r="K7" s="36"/>
      <c r="L7" s="58"/>
      <c r="M7" s="58"/>
      <c r="N7" s="58"/>
      <c r="O7" s="58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</row>
    <row r="8" spans="1:61" s="19" customFormat="1" ht="17" customHeight="1" x14ac:dyDescent="0.35">
      <c r="A8" s="21" t="s">
        <v>23</v>
      </c>
      <c r="B8" s="13" t="s">
        <v>24</v>
      </c>
      <c r="C8" s="73">
        <v>45962</v>
      </c>
      <c r="D8" s="73" t="s">
        <v>18</v>
      </c>
      <c r="E8" s="70" t="s">
        <v>25</v>
      </c>
      <c r="F8" s="14" t="s">
        <v>15</v>
      </c>
      <c r="G8" s="36"/>
      <c r="H8" s="12"/>
      <c r="I8" s="36"/>
      <c r="J8" s="36"/>
      <c r="K8" s="36"/>
      <c r="L8" s="58"/>
      <c r="M8" s="58"/>
      <c r="N8" s="58"/>
      <c r="O8" s="5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</row>
    <row r="9" spans="1:61" ht="18" customHeight="1" x14ac:dyDescent="0.35">
      <c r="A9" s="22" t="s">
        <v>26</v>
      </c>
      <c r="B9" s="10" t="s">
        <v>27</v>
      </c>
      <c r="C9" s="18" t="s">
        <v>28</v>
      </c>
      <c r="D9" s="18">
        <v>46022</v>
      </c>
      <c r="E9" s="29" t="s">
        <v>25</v>
      </c>
      <c r="F9" s="11" t="s">
        <v>15</v>
      </c>
      <c r="G9" s="41"/>
      <c r="H9" s="41"/>
      <c r="I9" s="12"/>
      <c r="J9" s="41"/>
      <c r="K9" s="41"/>
      <c r="L9" s="58"/>
      <c r="M9" s="58"/>
      <c r="N9" s="58"/>
      <c r="O9" s="58"/>
    </row>
    <row r="10" spans="1:61" ht="22.5" customHeight="1" x14ac:dyDescent="0.35">
      <c r="A10" s="23" t="s">
        <v>29</v>
      </c>
      <c r="B10" s="13" t="s">
        <v>30</v>
      </c>
      <c r="C10" s="15">
        <v>45992</v>
      </c>
      <c r="D10" s="15">
        <v>45992</v>
      </c>
      <c r="E10" s="68">
        <v>1</v>
      </c>
      <c r="F10" s="66">
        <v>1</v>
      </c>
      <c r="G10" s="41"/>
      <c r="H10" s="41"/>
      <c r="I10" s="12"/>
      <c r="J10" s="41"/>
      <c r="K10" s="41"/>
      <c r="L10" s="58"/>
      <c r="M10" s="58"/>
      <c r="N10" s="58"/>
      <c r="O10" s="58"/>
    </row>
    <row r="11" spans="1:61" ht="18" customHeight="1" x14ac:dyDescent="0.35">
      <c r="A11" s="33" t="s">
        <v>31</v>
      </c>
      <c r="B11" s="30" t="s">
        <v>32</v>
      </c>
      <c r="C11" s="34">
        <v>45993</v>
      </c>
      <c r="D11" s="34">
        <v>46001</v>
      </c>
      <c r="E11" s="69">
        <f t="shared" ref="E11:E21" si="0">D11-C11</f>
        <v>8</v>
      </c>
      <c r="F11" s="32" t="s">
        <v>15</v>
      </c>
      <c r="G11" s="41"/>
      <c r="H11" s="41"/>
      <c r="I11" s="12"/>
      <c r="J11" s="58"/>
      <c r="K11" s="41"/>
      <c r="L11" s="58"/>
      <c r="M11" s="58"/>
      <c r="N11" s="58"/>
      <c r="O11" s="58"/>
    </row>
    <row r="12" spans="1:61" ht="18" customHeight="1" x14ac:dyDescent="0.35">
      <c r="A12" s="23" t="s">
        <v>33</v>
      </c>
      <c r="B12" s="13" t="s">
        <v>34</v>
      </c>
      <c r="C12" s="16">
        <v>45993</v>
      </c>
      <c r="D12" s="16">
        <v>46001</v>
      </c>
      <c r="E12" s="68">
        <f t="shared" si="0"/>
        <v>8</v>
      </c>
      <c r="F12" s="14" t="s">
        <v>15</v>
      </c>
      <c r="G12" s="41"/>
      <c r="H12" s="41"/>
      <c r="I12" s="12"/>
      <c r="J12" s="25"/>
      <c r="K12" s="41"/>
      <c r="L12" s="58"/>
      <c r="M12" s="58"/>
      <c r="N12" s="58"/>
      <c r="O12" s="58"/>
    </row>
    <row r="13" spans="1:61" ht="18" customHeight="1" x14ac:dyDescent="0.35">
      <c r="A13" s="33" t="s">
        <v>35</v>
      </c>
      <c r="B13" s="30" t="s">
        <v>36</v>
      </c>
      <c r="C13" s="34">
        <v>45993</v>
      </c>
      <c r="D13" s="34">
        <v>46001</v>
      </c>
      <c r="E13" s="69">
        <f t="shared" si="0"/>
        <v>8</v>
      </c>
      <c r="F13" s="32" t="s">
        <v>15</v>
      </c>
      <c r="G13" s="41"/>
      <c r="H13" s="41"/>
      <c r="I13" s="12"/>
      <c r="J13" s="25"/>
      <c r="K13" s="41"/>
      <c r="L13" s="58"/>
      <c r="M13" s="58"/>
      <c r="N13" s="58"/>
      <c r="O13" s="58"/>
    </row>
    <row r="14" spans="1:61" ht="18" customHeight="1" x14ac:dyDescent="0.35">
      <c r="A14" s="35" t="s">
        <v>37</v>
      </c>
      <c r="B14" s="36" t="s">
        <v>38</v>
      </c>
      <c r="C14" s="37">
        <v>46002</v>
      </c>
      <c r="D14" s="37">
        <v>46006</v>
      </c>
      <c r="E14" s="71">
        <f t="shared" si="0"/>
        <v>4</v>
      </c>
      <c r="F14" s="38" t="s">
        <v>15</v>
      </c>
      <c r="G14" s="41"/>
      <c r="H14" s="41"/>
      <c r="I14" s="12"/>
      <c r="J14" s="25"/>
      <c r="K14" s="41"/>
      <c r="L14" s="58"/>
      <c r="M14" s="58"/>
      <c r="N14" s="58"/>
      <c r="O14" s="58"/>
    </row>
    <row r="15" spans="1:61" ht="18" customHeight="1" x14ac:dyDescent="0.35">
      <c r="A15" s="33" t="s">
        <v>39</v>
      </c>
      <c r="B15" s="30" t="s">
        <v>40</v>
      </c>
      <c r="C15" s="34">
        <v>46002</v>
      </c>
      <c r="D15" s="34">
        <v>46006</v>
      </c>
      <c r="E15" s="69">
        <f t="shared" si="0"/>
        <v>4</v>
      </c>
      <c r="F15" s="32" t="s">
        <v>15</v>
      </c>
      <c r="G15" s="41"/>
      <c r="H15" s="41"/>
      <c r="I15" s="12"/>
      <c r="J15" s="25"/>
      <c r="K15" s="41"/>
      <c r="L15" s="58"/>
      <c r="M15" s="58"/>
      <c r="N15" s="58"/>
      <c r="O15" s="58"/>
    </row>
    <row r="16" spans="1:61" ht="18" customHeight="1" x14ac:dyDescent="0.35">
      <c r="A16" s="35" t="s">
        <v>41</v>
      </c>
      <c r="B16" s="36" t="s">
        <v>42</v>
      </c>
      <c r="C16" s="37">
        <v>46002</v>
      </c>
      <c r="D16" s="37">
        <v>46006</v>
      </c>
      <c r="E16" s="71">
        <f t="shared" si="0"/>
        <v>4</v>
      </c>
      <c r="F16" s="38" t="s">
        <v>15</v>
      </c>
      <c r="G16" s="41"/>
      <c r="H16" s="41"/>
      <c r="I16" s="12"/>
      <c r="J16" s="25"/>
      <c r="K16" s="41"/>
      <c r="L16" s="58"/>
      <c r="M16" s="58"/>
      <c r="N16" s="58"/>
      <c r="O16" s="58"/>
    </row>
    <row r="17" spans="1:15" ht="18" customHeight="1" x14ac:dyDescent="0.35">
      <c r="A17" s="33" t="s">
        <v>43</v>
      </c>
      <c r="B17" s="30" t="s">
        <v>44</v>
      </c>
      <c r="C17" s="34">
        <v>46007</v>
      </c>
      <c r="D17" s="34">
        <v>46008</v>
      </c>
      <c r="E17" s="69">
        <f t="shared" si="0"/>
        <v>1</v>
      </c>
      <c r="F17" s="32" t="s">
        <v>15</v>
      </c>
      <c r="G17" s="41"/>
      <c r="H17" s="41"/>
      <c r="I17" s="12"/>
      <c r="J17" s="25"/>
      <c r="K17" s="41"/>
      <c r="L17" s="58"/>
      <c r="M17" s="58"/>
      <c r="N17" s="58"/>
      <c r="O17" s="58"/>
    </row>
    <row r="18" spans="1:15" ht="18" customHeight="1" x14ac:dyDescent="0.35">
      <c r="A18" s="23" t="s">
        <v>45</v>
      </c>
      <c r="B18" s="13" t="s">
        <v>46</v>
      </c>
      <c r="C18" s="15">
        <v>46009</v>
      </c>
      <c r="D18" s="15">
        <v>46022</v>
      </c>
      <c r="E18" s="68">
        <f t="shared" si="0"/>
        <v>13</v>
      </c>
      <c r="F18" s="14" t="s">
        <v>15</v>
      </c>
      <c r="G18" s="41"/>
      <c r="H18" s="41"/>
      <c r="I18" s="12"/>
      <c r="J18" s="25"/>
      <c r="K18" s="25"/>
      <c r="L18" s="58"/>
      <c r="M18" s="58"/>
      <c r="N18" s="58"/>
      <c r="O18" s="58"/>
    </row>
    <row r="19" spans="1:15" ht="19" customHeight="1" x14ac:dyDescent="0.35">
      <c r="A19" s="33" t="s">
        <v>47</v>
      </c>
      <c r="B19" s="30" t="s">
        <v>48</v>
      </c>
      <c r="C19" s="34">
        <v>46009</v>
      </c>
      <c r="D19" s="34">
        <v>46022</v>
      </c>
      <c r="E19" s="69">
        <f t="shared" si="0"/>
        <v>13</v>
      </c>
      <c r="F19" s="32" t="s">
        <v>15</v>
      </c>
      <c r="G19" s="41"/>
      <c r="H19" s="41"/>
      <c r="I19" s="12"/>
      <c r="J19" s="25"/>
      <c r="K19" s="25"/>
      <c r="L19" s="58"/>
      <c r="M19" s="58"/>
      <c r="N19" s="58"/>
      <c r="O19" s="58"/>
    </row>
    <row r="20" spans="1:15" ht="19" customHeight="1" x14ac:dyDescent="0.35">
      <c r="A20" s="23" t="s">
        <v>49</v>
      </c>
      <c r="B20" s="13" t="s">
        <v>50</v>
      </c>
      <c r="C20" s="15">
        <v>46009</v>
      </c>
      <c r="D20" s="15">
        <v>46022</v>
      </c>
      <c r="E20" s="68">
        <f t="shared" si="0"/>
        <v>13</v>
      </c>
      <c r="F20" s="14" t="s">
        <v>15</v>
      </c>
      <c r="G20" s="41"/>
      <c r="H20" s="41"/>
      <c r="I20" s="12"/>
      <c r="J20" s="25"/>
      <c r="K20" s="25"/>
      <c r="L20" s="58"/>
      <c r="M20" s="58"/>
      <c r="N20" s="58"/>
      <c r="O20" s="58"/>
    </row>
    <row r="21" spans="1:15" ht="18" customHeight="1" x14ac:dyDescent="0.35">
      <c r="A21" s="33" t="s">
        <v>51</v>
      </c>
      <c r="B21" s="30" t="s">
        <v>52</v>
      </c>
      <c r="C21" s="34">
        <v>46009</v>
      </c>
      <c r="D21" s="34">
        <v>46022</v>
      </c>
      <c r="E21" s="69">
        <f t="shared" si="0"/>
        <v>13</v>
      </c>
      <c r="F21" s="32" t="s">
        <v>15</v>
      </c>
      <c r="G21" s="41"/>
      <c r="H21" s="41"/>
      <c r="I21" s="12"/>
      <c r="J21" s="25"/>
      <c r="K21" s="25"/>
      <c r="L21" s="58"/>
      <c r="M21" s="58"/>
      <c r="N21" s="58"/>
      <c r="O21" s="58"/>
    </row>
    <row r="22" spans="1:15" ht="18" customHeight="1" x14ac:dyDescent="0.35">
      <c r="A22" s="79" t="s">
        <v>53</v>
      </c>
      <c r="B22" s="80" t="s">
        <v>175</v>
      </c>
      <c r="C22" s="81">
        <v>46022</v>
      </c>
      <c r="D22" s="81">
        <v>46022</v>
      </c>
      <c r="E22" s="82">
        <v>1</v>
      </c>
      <c r="F22" s="83" t="s">
        <v>15</v>
      </c>
      <c r="G22" s="41"/>
      <c r="H22" s="41"/>
      <c r="I22" s="79"/>
      <c r="J22" s="8"/>
      <c r="K22" s="58"/>
      <c r="L22" s="58"/>
      <c r="M22" s="58"/>
      <c r="N22" s="58"/>
      <c r="O22" s="58"/>
    </row>
    <row r="23" spans="1:15" ht="18" customHeight="1" x14ac:dyDescent="0.35">
      <c r="A23" s="24" t="s">
        <v>54</v>
      </c>
      <c r="B23" s="10" t="s">
        <v>55</v>
      </c>
      <c r="C23" s="18" t="s">
        <v>56</v>
      </c>
      <c r="D23" s="18" t="s">
        <v>57</v>
      </c>
      <c r="E23" s="29" t="s">
        <v>25</v>
      </c>
      <c r="F23" s="11" t="s">
        <v>15</v>
      </c>
      <c r="G23" s="41"/>
      <c r="H23" s="41"/>
      <c r="I23" s="41"/>
      <c r="J23" s="12"/>
      <c r="K23" s="25"/>
      <c r="L23" s="58"/>
      <c r="M23" s="58"/>
      <c r="N23" s="58"/>
      <c r="O23" s="58"/>
    </row>
    <row r="24" spans="1:15" ht="18" customHeight="1" x14ac:dyDescent="0.35">
      <c r="A24" s="23" t="s">
        <v>58</v>
      </c>
      <c r="B24" s="13" t="s">
        <v>59</v>
      </c>
      <c r="C24" s="15" t="s">
        <v>56</v>
      </c>
      <c r="D24" s="15">
        <v>46027</v>
      </c>
      <c r="E24" s="68">
        <f t="shared" ref="E24:E31" si="1">D24-C24</f>
        <v>4</v>
      </c>
      <c r="F24" s="14" t="s">
        <v>15</v>
      </c>
      <c r="G24" s="41"/>
      <c r="H24" s="41"/>
      <c r="I24" s="41"/>
      <c r="J24" s="12"/>
      <c r="K24" s="25"/>
      <c r="L24" s="58"/>
      <c r="M24" s="58"/>
      <c r="N24" s="58"/>
      <c r="O24" s="58"/>
    </row>
    <row r="25" spans="1:15" ht="18" customHeight="1" x14ac:dyDescent="0.35">
      <c r="A25" s="33" t="s">
        <v>60</v>
      </c>
      <c r="B25" s="30" t="s">
        <v>61</v>
      </c>
      <c r="C25" s="34">
        <v>46028</v>
      </c>
      <c r="D25" s="34">
        <v>46032</v>
      </c>
      <c r="E25" s="69">
        <f t="shared" si="1"/>
        <v>4</v>
      </c>
      <c r="F25" s="32" t="s">
        <v>15</v>
      </c>
      <c r="G25" s="41"/>
      <c r="H25" s="41"/>
      <c r="I25" s="41"/>
      <c r="J25" s="12"/>
      <c r="K25" s="25"/>
      <c r="L25" s="58"/>
      <c r="M25" s="58"/>
      <c r="N25" s="58"/>
      <c r="O25" s="58"/>
    </row>
    <row r="26" spans="1:15" ht="18" customHeight="1" x14ac:dyDescent="0.35">
      <c r="A26" s="23" t="s">
        <v>62</v>
      </c>
      <c r="B26" s="13" t="s">
        <v>63</v>
      </c>
      <c r="C26" s="15">
        <v>46033</v>
      </c>
      <c r="D26" s="15">
        <v>46037</v>
      </c>
      <c r="E26" s="68">
        <f t="shared" si="1"/>
        <v>4</v>
      </c>
      <c r="F26" s="14" t="s">
        <v>15</v>
      </c>
      <c r="G26" s="41"/>
      <c r="H26" s="41"/>
      <c r="I26" s="41"/>
      <c r="J26" s="12"/>
      <c r="K26" s="25"/>
      <c r="L26" s="58"/>
      <c r="M26" s="58"/>
      <c r="N26" s="58"/>
      <c r="O26" s="58"/>
    </row>
    <row r="27" spans="1:15" ht="18" customHeight="1" x14ac:dyDescent="0.35">
      <c r="A27" s="33" t="s">
        <v>64</v>
      </c>
      <c r="B27" s="30" t="s">
        <v>65</v>
      </c>
      <c r="C27" s="34">
        <v>46038</v>
      </c>
      <c r="D27" s="34">
        <v>46041</v>
      </c>
      <c r="E27" s="69">
        <f t="shared" si="1"/>
        <v>3</v>
      </c>
      <c r="F27" s="32" t="s">
        <v>15</v>
      </c>
      <c r="G27" s="41"/>
      <c r="H27" s="41"/>
      <c r="I27" s="41"/>
      <c r="J27" s="12"/>
      <c r="K27" s="25"/>
      <c r="L27" s="58"/>
      <c r="M27" s="58"/>
      <c r="N27" s="58"/>
      <c r="O27" s="58"/>
    </row>
    <row r="28" spans="1:15" x14ac:dyDescent="0.35">
      <c r="A28" s="84" t="s">
        <v>66</v>
      </c>
      <c r="B28" s="80" t="s">
        <v>176</v>
      </c>
      <c r="C28" s="81">
        <v>46042</v>
      </c>
      <c r="D28" s="81">
        <v>46042</v>
      </c>
      <c r="E28" s="82">
        <f t="shared" si="1"/>
        <v>0</v>
      </c>
      <c r="F28" s="83" t="s">
        <v>15</v>
      </c>
      <c r="G28" s="41"/>
      <c r="H28" s="41"/>
      <c r="I28" s="41"/>
      <c r="J28" s="79"/>
      <c r="K28" s="58"/>
      <c r="L28" s="58"/>
      <c r="M28" s="58"/>
      <c r="N28" s="58"/>
      <c r="O28" s="58"/>
    </row>
    <row r="29" spans="1:15" ht="18" customHeight="1" x14ac:dyDescent="0.35">
      <c r="A29" s="33" t="s">
        <v>67</v>
      </c>
      <c r="B29" s="30" t="s">
        <v>68</v>
      </c>
      <c r="C29" s="34">
        <v>46043</v>
      </c>
      <c r="D29" s="34">
        <v>46053</v>
      </c>
      <c r="E29" s="69">
        <f t="shared" si="1"/>
        <v>10</v>
      </c>
      <c r="F29" s="32" t="s">
        <v>15</v>
      </c>
      <c r="G29" s="41"/>
      <c r="H29" s="41"/>
      <c r="I29" s="41"/>
      <c r="J29" s="12"/>
      <c r="K29" s="25"/>
      <c r="L29" s="58"/>
      <c r="M29" s="58"/>
      <c r="N29" s="58"/>
      <c r="O29" s="58"/>
    </row>
    <row r="30" spans="1:15" ht="18" customHeight="1" x14ac:dyDescent="0.35">
      <c r="A30" s="35" t="s">
        <v>69</v>
      </c>
      <c r="B30" s="36" t="s">
        <v>70</v>
      </c>
      <c r="C30" s="37">
        <v>46043</v>
      </c>
      <c r="D30" s="37">
        <v>46053</v>
      </c>
      <c r="E30" s="71">
        <f t="shared" si="1"/>
        <v>10</v>
      </c>
      <c r="F30" s="38" t="s">
        <v>15</v>
      </c>
      <c r="G30" s="41"/>
      <c r="H30" s="41"/>
      <c r="I30" s="41"/>
      <c r="J30" s="12"/>
      <c r="K30" s="25"/>
      <c r="L30" s="58"/>
      <c r="M30" s="58"/>
      <c r="N30" s="58"/>
      <c r="O30" s="58"/>
    </row>
    <row r="31" spans="1:15" ht="18" customHeight="1" x14ac:dyDescent="0.35">
      <c r="A31" s="33" t="s">
        <v>71</v>
      </c>
      <c r="B31" s="30" t="s">
        <v>72</v>
      </c>
      <c r="C31" s="34">
        <v>46043</v>
      </c>
      <c r="D31" s="34">
        <v>46053</v>
      </c>
      <c r="E31" s="69">
        <f t="shared" si="1"/>
        <v>10</v>
      </c>
      <c r="F31" s="32" t="s">
        <v>15</v>
      </c>
      <c r="G31" s="41"/>
      <c r="H31" s="41"/>
      <c r="I31" s="41"/>
      <c r="J31" s="12"/>
      <c r="K31" s="25"/>
      <c r="L31" s="58"/>
      <c r="M31" s="58"/>
      <c r="N31" s="58"/>
      <c r="O31" s="58"/>
    </row>
    <row r="32" spans="1:15" ht="18" customHeight="1" x14ac:dyDescent="0.35">
      <c r="A32" s="22" t="s">
        <v>73</v>
      </c>
      <c r="B32" s="10" t="s">
        <v>74</v>
      </c>
      <c r="C32" s="18" t="s">
        <v>75</v>
      </c>
      <c r="D32" s="18" t="s">
        <v>14</v>
      </c>
      <c r="E32" s="29" t="s">
        <v>76</v>
      </c>
      <c r="F32" s="11" t="s">
        <v>15</v>
      </c>
      <c r="G32" s="41"/>
      <c r="H32" s="41"/>
      <c r="I32" s="41"/>
      <c r="J32" s="41"/>
      <c r="K32" s="12"/>
      <c r="L32" s="58"/>
      <c r="M32" s="58"/>
      <c r="N32" s="58"/>
      <c r="O32" s="58"/>
    </row>
    <row r="33" spans="1:15" ht="18" customHeight="1" x14ac:dyDescent="0.35">
      <c r="A33" s="33" t="s">
        <v>77</v>
      </c>
      <c r="B33" s="30" t="s">
        <v>78</v>
      </c>
      <c r="C33" s="34" t="s">
        <v>75</v>
      </c>
      <c r="D33" s="34" t="s">
        <v>79</v>
      </c>
      <c r="E33" s="69">
        <f t="shared" ref="E33:E39" si="2">D33-C33</f>
        <v>9</v>
      </c>
      <c r="F33" s="32" t="s">
        <v>15</v>
      </c>
      <c r="G33" s="41"/>
      <c r="H33" s="41"/>
      <c r="I33" s="41"/>
      <c r="J33" s="41"/>
      <c r="K33" s="12"/>
      <c r="L33" s="58"/>
      <c r="M33" s="58"/>
      <c r="N33" s="58"/>
      <c r="O33" s="58"/>
    </row>
    <row r="34" spans="1:15" ht="18" customHeight="1" x14ac:dyDescent="0.35">
      <c r="A34" s="35" t="s">
        <v>80</v>
      </c>
      <c r="B34" s="40" t="s">
        <v>81</v>
      </c>
      <c r="C34" s="37" t="s">
        <v>82</v>
      </c>
      <c r="D34" s="37" t="s">
        <v>83</v>
      </c>
      <c r="E34" s="71">
        <f t="shared" si="2"/>
        <v>9</v>
      </c>
      <c r="F34" s="38" t="s">
        <v>15</v>
      </c>
      <c r="G34" s="41"/>
      <c r="H34" s="41"/>
      <c r="I34" s="41"/>
      <c r="J34" s="41"/>
      <c r="K34" s="12"/>
      <c r="L34" s="58"/>
      <c r="M34" s="58"/>
      <c r="N34" s="58"/>
      <c r="O34" s="58"/>
    </row>
    <row r="35" spans="1:15" ht="18" customHeight="1" x14ac:dyDescent="0.35">
      <c r="A35" s="84" t="s">
        <v>84</v>
      </c>
      <c r="B35" s="80" t="s">
        <v>177</v>
      </c>
      <c r="C35" s="81"/>
      <c r="D35" s="81"/>
      <c r="E35" s="82">
        <f t="shared" si="2"/>
        <v>0</v>
      </c>
      <c r="F35" s="83" t="s">
        <v>15</v>
      </c>
      <c r="G35" s="41"/>
      <c r="H35" s="41"/>
      <c r="I35" s="41"/>
      <c r="J35" s="41"/>
      <c r="K35" s="79"/>
      <c r="L35" s="58"/>
      <c r="M35" s="58"/>
      <c r="N35" s="58"/>
      <c r="O35" s="58"/>
    </row>
    <row r="36" spans="1:15" ht="18" customHeight="1" x14ac:dyDescent="0.35">
      <c r="A36" s="35" t="s">
        <v>85</v>
      </c>
      <c r="B36" s="40" t="s">
        <v>86</v>
      </c>
      <c r="C36" s="37" t="s">
        <v>79</v>
      </c>
      <c r="D36" s="37" t="s">
        <v>87</v>
      </c>
      <c r="E36" s="71">
        <f t="shared" si="2"/>
        <v>8</v>
      </c>
      <c r="F36" s="38" t="s">
        <v>15</v>
      </c>
      <c r="G36" s="41"/>
      <c r="H36" s="41"/>
      <c r="I36" s="41"/>
      <c r="J36" s="41"/>
      <c r="K36" s="12"/>
      <c r="L36" s="58"/>
      <c r="M36" s="58"/>
      <c r="N36" s="58"/>
      <c r="O36" s="58"/>
    </row>
    <row r="37" spans="1:15" ht="18" customHeight="1" x14ac:dyDescent="0.35">
      <c r="A37" s="33" t="s">
        <v>88</v>
      </c>
      <c r="B37" s="30" t="s">
        <v>169</v>
      </c>
      <c r="C37" s="34" t="s">
        <v>89</v>
      </c>
      <c r="D37" s="34" t="s">
        <v>90</v>
      </c>
      <c r="E37" s="69">
        <f t="shared" si="2"/>
        <v>8</v>
      </c>
      <c r="F37" s="32" t="s">
        <v>15</v>
      </c>
      <c r="G37" s="41"/>
      <c r="H37" s="41"/>
      <c r="I37" s="41"/>
      <c r="J37" s="41"/>
      <c r="K37" s="12"/>
      <c r="L37" s="58"/>
      <c r="M37" s="58"/>
      <c r="N37" s="58"/>
      <c r="O37" s="58"/>
    </row>
    <row r="38" spans="1:15" ht="18" customHeight="1" x14ac:dyDescent="0.35">
      <c r="A38" s="35" t="s">
        <v>91</v>
      </c>
      <c r="B38" s="40" t="s">
        <v>92</v>
      </c>
      <c r="C38" s="37" t="s">
        <v>93</v>
      </c>
      <c r="D38" s="37" t="s">
        <v>94</v>
      </c>
      <c r="E38" s="71">
        <f t="shared" si="2"/>
        <v>7</v>
      </c>
      <c r="F38" s="38" t="s">
        <v>15</v>
      </c>
      <c r="G38" s="41"/>
      <c r="H38" s="41"/>
      <c r="I38" s="41"/>
      <c r="J38" s="41"/>
      <c r="K38" s="12"/>
      <c r="L38" s="58"/>
      <c r="M38" s="58"/>
      <c r="N38" s="58"/>
      <c r="O38" s="58"/>
    </row>
    <row r="39" spans="1:15" ht="18" customHeight="1" x14ac:dyDescent="0.35">
      <c r="A39" s="33" t="s">
        <v>95</v>
      </c>
      <c r="B39" s="39" t="s">
        <v>96</v>
      </c>
      <c r="C39" s="34" t="s">
        <v>90</v>
      </c>
      <c r="D39" s="34">
        <v>46075</v>
      </c>
      <c r="E39" s="69">
        <f t="shared" si="2"/>
        <v>2</v>
      </c>
      <c r="F39" s="32" t="s">
        <v>15</v>
      </c>
      <c r="G39" s="41"/>
      <c r="H39" s="41"/>
      <c r="I39" s="41"/>
      <c r="J39" s="41"/>
      <c r="K39" s="12"/>
      <c r="L39" s="58"/>
      <c r="M39" s="58"/>
      <c r="N39" s="58"/>
      <c r="O39" s="58"/>
    </row>
    <row r="40" spans="1:15" ht="18" customHeight="1" x14ac:dyDescent="0.35">
      <c r="A40" s="79" t="s">
        <v>188</v>
      </c>
      <c r="B40" s="80" t="s">
        <v>178</v>
      </c>
      <c r="C40" s="85">
        <v>46076</v>
      </c>
      <c r="D40" s="85">
        <v>46076</v>
      </c>
      <c r="E40" s="82">
        <v>1</v>
      </c>
      <c r="F40" s="86">
        <v>1</v>
      </c>
      <c r="G40" s="41"/>
      <c r="H40" s="41"/>
      <c r="I40" s="41"/>
      <c r="J40" s="41"/>
      <c r="K40" s="79"/>
      <c r="L40" s="58"/>
      <c r="M40" s="58"/>
      <c r="N40" s="58"/>
      <c r="O40" s="58"/>
    </row>
    <row r="41" spans="1:15" ht="18" customHeight="1" x14ac:dyDescent="0.35">
      <c r="A41" s="44" t="s">
        <v>97</v>
      </c>
      <c r="B41" s="89" t="s">
        <v>193</v>
      </c>
      <c r="C41" s="45" t="s">
        <v>98</v>
      </c>
      <c r="D41" s="45" t="s">
        <v>99</v>
      </c>
      <c r="E41" s="45">
        <v>94</v>
      </c>
      <c r="F41" s="100" t="s">
        <v>196</v>
      </c>
      <c r="G41" s="46"/>
      <c r="H41" s="46"/>
      <c r="I41" s="46"/>
      <c r="J41" s="46"/>
      <c r="K41" s="46"/>
      <c r="L41" s="47"/>
      <c r="M41" s="47"/>
      <c r="N41" s="47"/>
      <c r="O41" s="47"/>
    </row>
    <row r="42" spans="1:15" ht="18" customHeight="1" x14ac:dyDescent="0.35">
      <c r="A42" s="48" t="s">
        <v>100</v>
      </c>
      <c r="B42" s="61" t="s">
        <v>131</v>
      </c>
      <c r="C42" s="49" t="s">
        <v>98</v>
      </c>
      <c r="D42" s="49" t="s">
        <v>101</v>
      </c>
      <c r="E42" s="49">
        <v>31</v>
      </c>
      <c r="F42" s="101" t="s">
        <v>196</v>
      </c>
      <c r="G42" s="59"/>
      <c r="H42" s="59"/>
      <c r="I42" s="59"/>
      <c r="J42" s="59"/>
      <c r="K42" s="59"/>
      <c r="L42" s="51"/>
      <c r="M42" s="62"/>
      <c r="N42" s="62"/>
      <c r="O42" s="59"/>
    </row>
    <row r="43" spans="1:15" ht="18" customHeight="1" x14ac:dyDescent="0.35">
      <c r="A43" s="46" t="s">
        <v>102</v>
      </c>
      <c r="B43" s="63" t="s">
        <v>189</v>
      </c>
      <c r="C43" s="52" t="s">
        <v>98</v>
      </c>
      <c r="D43" s="52" t="s">
        <v>103</v>
      </c>
      <c r="E43" s="52">
        <v>10</v>
      </c>
      <c r="F43" s="102" t="s">
        <v>196</v>
      </c>
      <c r="G43" s="59"/>
      <c r="H43" s="59"/>
      <c r="I43" s="59"/>
      <c r="J43" s="59"/>
      <c r="K43" s="59"/>
      <c r="L43" s="51"/>
      <c r="M43" s="62"/>
      <c r="N43" s="62"/>
      <c r="O43" s="59"/>
    </row>
    <row r="44" spans="1:15" ht="31.5" customHeight="1" x14ac:dyDescent="0.35">
      <c r="A44" s="50" t="s">
        <v>104</v>
      </c>
      <c r="B44" s="64" t="s">
        <v>134</v>
      </c>
      <c r="C44" s="56">
        <v>46092</v>
      </c>
      <c r="D44" s="53" t="s">
        <v>105</v>
      </c>
      <c r="E44" s="53">
        <v>16</v>
      </c>
      <c r="F44" s="103" t="s">
        <v>196</v>
      </c>
      <c r="G44" s="59"/>
      <c r="H44" s="59"/>
      <c r="I44" s="59"/>
      <c r="J44" s="59"/>
      <c r="K44" s="59"/>
      <c r="L44" s="51"/>
      <c r="M44" s="25"/>
      <c r="N44" s="62"/>
      <c r="O44" s="59"/>
    </row>
    <row r="45" spans="1:15" ht="18" customHeight="1" x14ac:dyDescent="0.35">
      <c r="A45" s="46" t="s">
        <v>106</v>
      </c>
      <c r="B45" s="63" t="s">
        <v>135</v>
      </c>
      <c r="C45" s="55">
        <v>46102</v>
      </c>
      <c r="D45" s="52" t="s">
        <v>101</v>
      </c>
      <c r="E45" s="52">
        <v>17</v>
      </c>
      <c r="F45" s="102" t="s">
        <v>196</v>
      </c>
      <c r="G45" s="59"/>
      <c r="H45" s="59"/>
      <c r="I45" s="59"/>
      <c r="J45" s="59"/>
      <c r="K45" s="59"/>
      <c r="L45" s="51"/>
      <c r="M45" s="25"/>
      <c r="N45" s="62"/>
      <c r="O45" s="59"/>
    </row>
    <row r="46" spans="1:15" ht="18" customHeight="1" x14ac:dyDescent="0.35">
      <c r="A46" s="48" t="s">
        <v>107</v>
      </c>
      <c r="B46" s="61" t="s">
        <v>132</v>
      </c>
      <c r="C46" s="49" t="s">
        <v>108</v>
      </c>
      <c r="D46" s="49" t="s">
        <v>109</v>
      </c>
      <c r="E46" s="49">
        <v>30</v>
      </c>
      <c r="F46" s="101" t="s">
        <v>196</v>
      </c>
      <c r="G46" s="59"/>
      <c r="H46" s="59"/>
      <c r="I46" s="59"/>
      <c r="J46" s="59"/>
      <c r="K46" s="59"/>
      <c r="L46" s="59"/>
      <c r="M46" s="51"/>
      <c r="N46" s="62"/>
      <c r="O46" s="59"/>
    </row>
    <row r="47" spans="1:15" ht="18" customHeight="1" x14ac:dyDescent="0.35">
      <c r="A47" s="50" t="s">
        <v>110</v>
      </c>
      <c r="B47" s="64" t="s">
        <v>136</v>
      </c>
      <c r="C47" s="53" t="s">
        <v>108</v>
      </c>
      <c r="D47" s="56">
        <v>46122</v>
      </c>
      <c r="E47" s="53">
        <v>15</v>
      </c>
      <c r="F47" s="103" t="s">
        <v>196</v>
      </c>
      <c r="G47" s="59"/>
      <c r="H47" s="59"/>
      <c r="I47" s="59"/>
      <c r="J47" s="59"/>
      <c r="K47" s="59"/>
      <c r="L47" s="59"/>
      <c r="M47" s="51"/>
      <c r="N47" s="62"/>
      <c r="O47" s="59"/>
    </row>
    <row r="48" spans="1:15" ht="18" customHeight="1" x14ac:dyDescent="0.35">
      <c r="A48" s="46" t="s">
        <v>111</v>
      </c>
      <c r="B48" s="63" t="s">
        <v>137</v>
      </c>
      <c r="C48" s="55">
        <v>46123</v>
      </c>
      <c r="D48" s="55">
        <v>46142</v>
      </c>
      <c r="E48" s="52">
        <v>15</v>
      </c>
      <c r="F48" s="102" t="s">
        <v>196</v>
      </c>
      <c r="G48" s="59"/>
      <c r="H48" s="59"/>
      <c r="I48" s="59"/>
      <c r="J48" s="59"/>
      <c r="K48" s="59"/>
      <c r="L48" s="59"/>
      <c r="M48" s="51"/>
      <c r="N48" s="62"/>
      <c r="O48" s="59"/>
    </row>
    <row r="49" spans="1:15" ht="18" customHeight="1" x14ac:dyDescent="0.35">
      <c r="A49" s="50" t="s">
        <v>112</v>
      </c>
      <c r="B49" s="64" t="s">
        <v>138</v>
      </c>
      <c r="C49" s="55">
        <v>46123</v>
      </c>
      <c r="D49" s="55">
        <v>46142</v>
      </c>
      <c r="E49" s="53">
        <v>16</v>
      </c>
      <c r="F49" s="103" t="s">
        <v>196</v>
      </c>
      <c r="G49" s="59"/>
      <c r="H49" s="59"/>
      <c r="I49" s="59"/>
      <c r="J49" s="59"/>
      <c r="K49" s="59"/>
      <c r="L49" s="59"/>
      <c r="M49" s="51"/>
      <c r="N49" s="62"/>
      <c r="O49" s="59"/>
    </row>
    <row r="50" spans="1:15" ht="18" customHeight="1" x14ac:dyDescent="0.35">
      <c r="A50" s="46" t="s">
        <v>113</v>
      </c>
      <c r="B50" s="63" t="s">
        <v>139</v>
      </c>
      <c r="C50" s="55">
        <v>46123</v>
      </c>
      <c r="D50" s="55">
        <v>46142</v>
      </c>
      <c r="E50" s="52">
        <v>11</v>
      </c>
      <c r="F50" s="102" t="s">
        <v>196</v>
      </c>
      <c r="G50" s="59"/>
      <c r="H50" s="59"/>
      <c r="I50" s="59"/>
      <c r="J50" s="59"/>
      <c r="K50" s="59"/>
      <c r="L50" s="59"/>
      <c r="M50" s="51"/>
      <c r="N50" s="62"/>
      <c r="O50" s="59"/>
    </row>
    <row r="51" spans="1:15" ht="18" customHeight="1" x14ac:dyDescent="0.35">
      <c r="A51" s="48" t="s">
        <v>114</v>
      </c>
      <c r="B51" s="61" t="s">
        <v>190</v>
      </c>
      <c r="C51" s="54" t="s">
        <v>115</v>
      </c>
      <c r="D51" s="54" t="s">
        <v>116</v>
      </c>
      <c r="E51" s="49">
        <v>31</v>
      </c>
      <c r="F51" s="101" t="s">
        <v>196</v>
      </c>
      <c r="G51" s="59"/>
      <c r="H51" s="59"/>
      <c r="I51" s="59"/>
      <c r="J51" s="59"/>
      <c r="K51" s="59"/>
      <c r="L51" s="59"/>
      <c r="M51" s="59"/>
      <c r="N51" s="51"/>
      <c r="O51" s="62"/>
    </row>
    <row r="52" spans="1:15" ht="18" customHeight="1" x14ac:dyDescent="0.35">
      <c r="A52" s="46" t="s">
        <v>117</v>
      </c>
      <c r="B52" s="63" t="s">
        <v>140</v>
      </c>
      <c r="C52" s="55" t="s">
        <v>115</v>
      </c>
      <c r="D52" s="55">
        <v>46151</v>
      </c>
      <c r="E52" s="52">
        <v>12</v>
      </c>
      <c r="F52" s="102" t="s">
        <v>196</v>
      </c>
      <c r="G52" s="59"/>
      <c r="H52" s="59"/>
      <c r="I52" s="59"/>
      <c r="J52" s="59"/>
      <c r="K52" s="59"/>
      <c r="L52" s="59"/>
      <c r="M52" s="59"/>
      <c r="N52" s="51"/>
      <c r="O52" s="62"/>
    </row>
    <row r="53" spans="1:15" ht="18" customHeight="1" x14ac:dyDescent="0.35">
      <c r="A53" s="50" t="s">
        <v>119</v>
      </c>
      <c r="B53" s="64" t="s">
        <v>141</v>
      </c>
      <c r="C53" s="56">
        <v>46152</v>
      </c>
      <c r="D53" s="56" t="s">
        <v>120</v>
      </c>
      <c r="E53" s="53">
        <v>14</v>
      </c>
      <c r="F53" s="103" t="s">
        <v>196</v>
      </c>
      <c r="G53" s="59"/>
      <c r="H53" s="59"/>
      <c r="I53" s="59"/>
      <c r="J53" s="59"/>
      <c r="K53" s="59"/>
      <c r="L53" s="59"/>
      <c r="M53" s="59"/>
      <c r="N53" s="51"/>
      <c r="O53" s="62"/>
    </row>
    <row r="54" spans="1:15" ht="18" customHeight="1" x14ac:dyDescent="0.35">
      <c r="A54" s="46" t="s">
        <v>121</v>
      </c>
      <c r="B54" s="63" t="s">
        <v>145</v>
      </c>
      <c r="C54" s="55" t="s">
        <v>118</v>
      </c>
      <c r="D54" s="55" t="s">
        <v>122</v>
      </c>
      <c r="E54" s="52">
        <v>14</v>
      </c>
      <c r="F54" s="102" t="s">
        <v>196</v>
      </c>
      <c r="G54" s="59"/>
      <c r="H54" s="59"/>
      <c r="I54" s="59"/>
      <c r="J54" s="59"/>
      <c r="K54" s="59"/>
      <c r="L54" s="59"/>
      <c r="M54" s="59"/>
      <c r="N54" s="51"/>
      <c r="O54" s="62"/>
    </row>
    <row r="55" spans="1:15" ht="18" customHeight="1" x14ac:dyDescent="0.35">
      <c r="A55" s="50" t="s">
        <v>123</v>
      </c>
      <c r="B55" s="64" t="s">
        <v>142</v>
      </c>
      <c r="C55" s="56" t="s">
        <v>124</v>
      </c>
      <c r="D55" s="56" t="s">
        <v>116</v>
      </c>
      <c r="E55" s="53">
        <v>12</v>
      </c>
      <c r="F55" s="103" t="s">
        <v>196</v>
      </c>
      <c r="G55" s="59"/>
      <c r="H55" s="59"/>
      <c r="I55" s="59"/>
      <c r="J55" s="59"/>
      <c r="K55" s="59"/>
      <c r="L55" s="59"/>
      <c r="M55" s="59"/>
      <c r="N55" s="51"/>
      <c r="O55" s="62"/>
    </row>
    <row r="56" spans="1:15" ht="18" customHeight="1" x14ac:dyDescent="0.35">
      <c r="A56" s="87" t="s">
        <v>125</v>
      </c>
      <c r="B56" s="64" t="s">
        <v>194</v>
      </c>
      <c r="C56" s="56">
        <v>46167</v>
      </c>
      <c r="D56" s="56">
        <v>46173</v>
      </c>
      <c r="E56" s="53">
        <v>6</v>
      </c>
      <c r="F56" s="103" t="s">
        <v>196</v>
      </c>
      <c r="G56" s="59"/>
      <c r="H56" s="59"/>
      <c r="I56" s="59"/>
      <c r="J56" s="59"/>
      <c r="K56" s="59"/>
      <c r="L56" s="59"/>
      <c r="M56" s="59"/>
      <c r="N56" s="51"/>
      <c r="O56" s="62"/>
    </row>
    <row r="57" spans="1:15" ht="18" customHeight="1" x14ac:dyDescent="0.35">
      <c r="A57" s="88" t="s">
        <v>133</v>
      </c>
      <c r="B57" s="63" t="s">
        <v>143</v>
      </c>
      <c r="C57" s="55" t="s">
        <v>126</v>
      </c>
      <c r="D57" s="55" t="s">
        <v>124</v>
      </c>
      <c r="E57" s="52">
        <v>11</v>
      </c>
      <c r="F57" s="103" t="s">
        <v>196</v>
      </c>
      <c r="G57" s="59"/>
      <c r="H57" s="59"/>
      <c r="I57" s="59"/>
      <c r="J57" s="59"/>
      <c r="K57" s="59"/>
      <c r="L57" s="59"/>
      <c r="M57" s="59"/>
      <c r="N57" s="51"/>
      <c r="O57" s="62"/>
    </row>
    <row r="58" spans="1:15" ht="18" customHeight="1" x14ac:dyDescent="0.35">
      <c r="A58" s="65" t="s">
        <v>191</v>
      </c>
      <c r="B58" s="63" t="s">
        <v>163</v>
      </c>
      <c r="C58" s="55">
        <v>46163</v>
      </c>
      <c r="D58" s="55">
        <v>46173</v>
      </c>
      <c r="E58" s="52">
        <v>10</v>
      </c>
      <c r="F58" s="103" t="s">
        <v>196</v>
      </c>
      <c r="G58" s="59"/>
      <c r="H58" s="59"/>
      <c r="I58" s="59"/>
      <c r="J58" s="59"/>
      <c r="K58" s="59"/>
      <c r="L58" s="59"/>
      <c r="M58" s="59"/>
      <c r="N58" s="51"/>
      <c r="O58" s="62"/>
    </row>
    <row r="59" spans="1:15" ht="18" customHeight="1" x14ac:dyDescent="0.35">
      <c r="A59" s="48" t="s">
        <v>127</v>
      </c>
      <c r="B59" s="61" t="s">
        <v>166</v>
      </c>
      <c r="C59" s="54" t="s">
        <v>128</v>
      </c>
      <c r="D59" s="54" t="s">
        <v>99</v>
      </c>
      <c r="E59" s="49">
        <v>2</v>
      </c>
      <c r="F59" s="104" t="s">
        <v>196</v>
      </c>
      <c r="G59" s="59"/>
      <c r="H59" s="59"/>
      <c r="I59" s="59"/>
      <c r="J59" s="59"/>
      <c r="K59" s="59"/>
      <c r="L59" s="59"/>
      <c r="M59" s="59"/>
      <c r="N59" s="51"/>
      <c r="O59" s="62"/>
    </row>
    <row r="60" spans="1:15" ht="18" customHeight="1" x14ac:dyDescent="0.35">
      <c r="A60" s="50" t="s">
        <v>129</v>
      </c>
      <c r="B60" s="64" t="s">
        <v>167</v>
      </c>
      <c r="C60" s="56" t="s">
        <v>128</v>
      </c>
      <c r="D60" s="56" t="s">
        <v>99</v>
      </c>
      <c r="E60" s="53">
        <v>2</v>
      </c>
      <c r="F60" s="103" t="s">
        <v>196</v>
      </c>
      <c r="G60" s="59"/>
      <c r="H60" s="59"/>
      <c r="I60" s="59"/>
      <c r="J60" s="59"/>
      <c r="K60" s="59"/>
      <c r="L60" s="59"/>
      <c r="M60" s="59"/>
      <c r="N60" s="59"/>
      <c r="O60" s="51"/>
    </row>
    <row r="61" spans="1:15" ht="18" customHeight="1" x14ac:dyDescent="0.35">
      <c r="A61" s="46" t="s">
        <v>130</v>
      </c>
      <c r="B61" s="63" t="s">
        <v>165</v>
      </c>
      <c r="C61" s="52" t="s">
        <v>128</v>
      </c>
      <c r="D61" s="52" t="s">
        <v>99</v>
      </c>
      <c r="E61" s="52">
        <v>2</v>
      </c>
      <c r="F61" s="103" t="s">
        <v>196</v>
      </c>
      <c r="G61" s="59"/>
      <c r="H61" s="59"/>
      <c r="I61" s="59"/>
      <c r="J61" s="59"/>
      <c r="K61" s="59"/>
      <c r="L61" s="59"/>
      <c r="M61" s="59"/>
      <c r="N61" s="59"/>
      <c r="O61" s="51"/>
    </row>
    <row r="62" spans="1:15" x14ac:dyDescent="0.35">
      <c r="G62" s="60"/>
      <c r="H62" s="60"/>
      <c r="I62" s="60"/>
      <c r="J62" s="60"/>
      <c r="K62" s="60"/>
      <c r="N62" s="60"/>
    </row>
    <row r="63" spans="1:15" ht="18" customHeight="1" x14ac:dyDescent="0.35">
      <c r="A63" s="96" t="s">
        <v>146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2"/>
    </row>
    <row r="64" spans="1:15" ht="18" customHeight="1" x14ac:dyDescent="0.35">
      <c r="A64" s="75" t="s">
        <v>147</v>
      </c>
      <c r="B64" s="76"/>
      <c r="C64" s="93" t="s">
        <v>151</v>
      </c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5"/>
    </row>
    <row r="65" spans="1:15" ht="18" customHeight="1" x14ac:dyDescent="0.35">
      <c r="A65" s="57" t="s">
        <v>148</v>
      </c>
      <c r="B65" s="53"/>
      <c r="C65" s="90" t="s">
        <v>152</v>
      </c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2"/>
    </row>
    <row r="66" spans="1:15" ht="18" customHeight="1" x14ac:dyDescent="0.35">
      <c r="A66" s="75" t="s">
        <v>149</v>
      </c>
      <c r="B66" s="77"/>
      <c r="C66" s="93" t="s">
        <v>153</v>
      </c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5"/>
    </row>
    <row r="67" spans="1:15" ht="18" customHeight="1" x14ac:dyDescent="0.35">
      <c r="A67" s="57" t="s">
        <v>150</v>
      </c>
      <c r="B67" s="53"/>
      <c r="C67" s="90" t="s">
        <v>154</v>
      </c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2"/>
    </row>
    <row r="68" spans="1:15" ht="18" customHeight="1" x14ac:dyDescent="0.35">
      <c r="A68" s="57" t="s">
        <v>157</v>
      </c>
      <c r="B68" s="53"/>
      <c r="C68" s="90" t="s">
        <v>171</v>
      </c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2"/>
    </row>
    <row r="69" spans="1:15" ht="18" customHeight="1" x14ac:dyDescent="0.35">
      <c r="A69" s="75" t="s">
        <v>158</v>
      </c>
      <c r="B69" s="78"/>
      <c r="C69" s="93" t="s">
        <v>155</v>
      </c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5"/>
    </row>
    <row r="70" spans="1:15" ht="18" customHeight="1" x14ac:dyDescent="0.35">
      <c r="A70" s="57" t="s">
        <v>159</v>
      </c>
      <c r="B70" s="53"/>
      <c r="C70" s="90" t="s">
        <v>156</v>
      </c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2"/>
    </row>
    <row r="71" spans="1:15" ht="18" customHeight="1" x14ac:dyDescent="0.35">
      <c r="A71" s="75" t="s">
        <v>170</v>
      </c>
      <c r="B71" s="78"/>
      <c r="C71" s="93" t="s">
        <v>172</v>
      </c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5"/>
    </row>
    <row r="72" spans="1:15" ht="18" customHeight="1" x14ac:dyDescent="0.35">
      <c r="C72"/>
      <c r="D72"/>
      <c r="E72"/>
    </row>
    <row r="73" spans="1:15" ht="18" customHeight="1" x14ac:dyDescent="0.35">
      <c r="C73"/>
      <c r="D73"/>
      <c r="E73"/>
    </row>
    <row r="74" spans="1:15" x14ac:dyDescent="0.35">
      <c r="A74" s="96" t="s">
        <v>179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2"/>
    </row>
    <row r="75" spans="1:15" x14ac:dyDescent="0.35">
      <c r="A75" s="57" t="s">
        <v>180</v>
      </c>
      <c r="B75" s="78"/>
      <c r="C75" s="93" t="s">
        <v>160</v>
      </c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5"/>
    </row>
    <row r="76" spans="1:15" x14ac:dyDescent="0.35">
      <c r="A76" s="57" t="s">
        <v>181</v>
      </c>
      <c r="B76" s="53"/>
      <c r="C76" s="90" t="s">
        <v>161</v>
      </c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2"/>
    </row>
    <row r="77" spans="1:15" x14ac:dyDescent="0.35">
      <c r="A77" s="57" t="s">
        <v>182</v>
      </c>
      <c r="B77" s="78"/>
      <c r="C77" s="93" t="s">
        <v>162</v>
      </c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5"/>
    </row>
    <row r="78" spans="1:15" x14ac:dyDescent="0.35">
      <c r="A78" s="57" t="s">
        <v>183</v>
      </c>
      <c r="B78" s="53"/>
      <c r="C78" s="90" t="s">
        <v>173</v>
      </c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2"/>
    </row>
    <row r="79" spans="1:15" x14ac:dyDescent="0.35">
      <c r="A79" s="57" t="s">
        <v>184</v>
      </c>
      <c r="B79" s="53"/>
      <c r="C79" s="90" t="s">
        <v>174</v>
      </c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2"/>
    </row>
    <row r="80" spans="1:15" x14ac:dyDescent="0.35">
      <c r="A80" s="57" t="s">
        <v>185</v>
      </c>
      <c r="B80" s="78"/>
      <c r="C80" s="93" t="s">
        <v>163</v>
      </c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5"/>
    </row>
    <row r="81" spans="1:15" x14ac:dyDescent="0.35">
      <c r="A81" s="57" t="s">
        <v>186</v>
      </c>
      <c r="B81" s="53"/>
      <c r="C81" s="90" t="s">
        <v>164</v>
      </c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2"/>
    </row>
    <row r="82" spans="1:15" x14ac:dyDescent="0.35">
      <c r="A82" s="57" t="s">
        <v>187</v>
      </c>
      <c r="B82" s="78"/>
      <c r="C82" s="93" t="s">
        <v>165</v>
      </c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5"/>
    </row>
  </sheetData>
  <mergeCells count="19">
    <mergeCell ref="C68:O68"/>
    <mergeCell ref="C79:O79"/>
    <mergeCell ref="C82:O82"/>
    <mergeCell ref="C76:O76"/>
    <mergeCell ref="C77:O77"/>
    <mergeCell ref="C78:O78"/>
    <mergeCell ref="C80:O80"/>
    <mergeCell ref="C81:O81"/>
    <mergeCell ref="C69:O69"/>
    <mergeCell ref="C70:O70"/>
    <mergeCell ref="C71:O71"/>
    <mergeCell ref="A74:O74"/>
    <mergeCell ref="C75:O75"/>
    <mergeCell ref="C67:O67"/>
    <mergeCell ref="C66:O66"/>
    <mergeCell ref="A63:O63"/>
    <mergeCell ref="A1:O1"/>
    <mergeCell ref="C65:O65"/>
    <mergeCell ref="C64:O64"/>
  </mergeCells>
  <phoneticPr fontId="11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Harmonogram Gantta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Kuba H</cp:lastModifiedBy>
  <dcterms:created xsi:type="dcterms:W3CDTF">2026-05-22T10:58:21Z</dcterms:created>
  <dcterms:modified xsi:type="dcterms:W3CDTF">2026-06-02T11:12:41Z</dcterms:modified>
</cp:coreProperties>
</file>